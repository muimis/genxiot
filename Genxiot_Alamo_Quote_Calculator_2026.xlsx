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ote Calculator" sheetId="1" r:id="rId1"/>
  </sheets>
  <calcPr calcId="124519" fullCalcOnLoad="1"/>
</workbook>
</file>

<file path=xl/sharedStrings.xml><?xml version="1.0" encoding="utf-8"?>
<sst xmlns="http://schemas.openxmlformats.org/spreadsheetml/2006/main" count="60" uniqueCount="60">
  <si>
    <t>GENXIOT LLP</t>
  </si>
  <si>
    <t>Intelligent Healthcare &amp; Smart IoT Solutions</t>
  </si>
  <si>
    <t>6th Floor STPI Building, Technopark, Thiruvananthapuram | Ph: +91 9496557777 | info@genxiot.com</t>
  </si>
  <si>
    <t>1. HOSPITAL &amp; DEAL INFORMATION</t>
  </si>
  <si>
    <t>Hospital / Client Name:</t>
  </si>
  <si>
    <t>NIMS Hospital</t>
  </si>
  <si>
    <t>Quotation Ref #:</t>
  </si>
  <si>
    <t>GEN-QTN-2026-0478</t>
  </si>
  <si>
    <t>City / Location:</t>
  </si>
  <si>
    <t>Trivandrum, Kerala</t>
  </si>
  <si>
    <t>Quotation Date:</t>
  </si>
  <si>
    <t>2026-07-20</t>
  </si>
  <si>
    <t>Contact Person &amp; Title:</t>
  </si>
  <si>
    <t>Dr. M. S. Kumar (CMO)</t>
  </si>
  <si>
    <t>Genxiot BDM Exec:</t>
  </si>
  <si>
    <t>Genxiot Sales Team</t>
  </si>
  <si>
    <t>2. SMART CAPACITY ESTIMATOR (Yellow Cells = Edit Inputs)</t>
  </si>
  <si>
    <t>Total Patient Beds:</t>
  </si>
  <si>
    <t>Washroom / Toilet Units:</t>
  </si>
  <si>
    <t>Wards / Nursing Stations:</t>
  </si>
  <si>
    <t>Door Lights Ratio Per Bed:</t>
  </si>
  <si>
    <t>3. ITEMISED BILL OF QUANTITIES (BOQ)</t>
  </si>
  <si>
    <t>#</t>
  </si>
  <si>
    <t>Item Name &amp; Description</t>
  </si>
  <si>
    <t>Item Code</t>
  </si>
  <si>
    <t>Qty</t>
  </si>
  <si>
    <t>Unit Rate (₹)</t>
  </si>
  <si>
    <t>Total Amount (₹)</t>
  </si>
  <si>
    <t>Alamo | Service &amp; Nurse Call Point</t>
  </si>
  <si>
    <t>EVECPRJ03A0001A</t>
  </si>
  <si>
    <t>Alamo | Handheld Pendant Button</t>
  </si>
  <si>
    <t>EVECPRJ03A0008A</t>
  </si>
  <si>
    <t>Alamo | Pendant Wall Stand</t>
  </si>
  <si>
    <t>EVECPRJ03M0035A</t>
  </si>
  <si>
    <t>Alamo | Washroom Emergency Pullcord</t>
  </si>
  <si>
    <t>EVECPRJ03A0003A</t>
  </si>
  <si>
    <t>Alamo | Corridor Call Light V2</t>
  </si>
  <si>
    <t>EVECPRJ03A0004B</t>
  </si>
  <si>
    <t>Gen-Gateway LoRa Base Station</t>
  </si>
  <si>
    <t>EVECPRJ04A0001A</t>
  </si>
  <si>
    <t>Alamo | Wireless Signal Repeater V2</t>
  </si>
  <si>
    <t>EVECPRJ03A0011B</t>
  </si>
  <si>
    <t>Central Nursing Station Display (32 Inch)</t>
  </si>
  <si>
    <t>EVESE0207</t>
  </si>
  <si>
    <t>Subtotal:</t>
  </si>
  <si>
    <t>Discount (%):</t>
  </si>
  <si>
    <t>Shipping Charge:</t>
  </si>
  <si>
    <t>Taxable Amount:</t>
  </si>
  <si>
    <t>CGST (9%):</t>
  </si>
  <si>
    <t>SGST (9%):</t>
  </si>
  <si>
    <t>Grand Total (Incl 18% GST):</t>
  </si>
  <si>
    <t>4. COMMERCIAL TERMS &amp; BANK DETAILS</t>
  </si>
  <si>
    <t>Payment Schedule:</t>
  </si>
  <si>
    <t>50% Advance with PO, 50% Balance post-installation</t>
  </si>
  <si>
    <t>Delivery Period:</t>
  </si>
  <si>
    <t>25 Days from order confirmation &amp; advance receipt</t>
  </si>
  <si>
    <t>Warranty:</t>
  </si>
  <si>
    <t>12 Months comprehensive on-site warranty by Genxiot LLP</t>
  </si>
  <si>
    <t>Bank Remittance:</t>
  </si>
  <si>
    <t>Genxiot Healthcare Solutions | ICICI Bank | A/C: 323005000011 | IFSC: ICIC0003230</t>
  </si>
</sst>
</file>

<file path=xl/styles.xml><?xml version="1.0" encoding="utf-8"?>
<styleSheet xmlns="http://schemas.openxmlformats.org/spreadsheetml/2006/main">
  <numFmts count="1">
    <numFmt numFmtId="164" formatCode="₹ #,##0.00"/>
  </numFmts>
  <fonts count="11">
    <font>
      <sz val="11"/>
      <color theme="1"/>
      <name val="Calibri"/>
      <family val="2"/>
      <scheme val="minor"/>
    </font>
    <font>
      <b/>
      <sz val="18"/>
      <color rgb="FF0F172A"/>
      <name val="Segoe UI"/>
      <family val="2"/>
    </font>
    <font>
      <b/>
      <sz val="11"/>
      <color rgb="FF0284C7"/>
      <name val="Segoe UI"/>
      <family val="2"/>
    </font>
    <font>
      <i/>
      <sz val="9"/>
      <color rgb="FF64748B"/>
      <name val="Segoe UI"/>
      <family val="2"/>
    </font>
    <font>
      <b/>
      <sz val="11"/>
      <color rgb="FFFFFFFF"/>
      <name val="Segoe UI"/>
      <family val="2"/>
    </font>
    <font>
      <sz val="9.5"/>
      <color theme="1"/>
      <name val="Segoe UI"/>
      <family val="2"/>
    </font>
    <font>
      <sz val="10"/>
      <color theme="1"/>
      <name val="Segoe UI"/>
      <family val="2"/>
    </font>
    <font>
      <b/>
      <sz val="10"/>
      <color rgb="FF1E293B"/>
      <name val="Segoe UI"/>
      <family val="2"/>
    </font>
    <font>
      <b/>
      <sz val="10"/>
      <color theme="1"/>
      <name val="Segoe UI"/>
      <family val="2"/>
    </font>
    <font>
      <b/>
      <sz val="11"/>
      <color rgb="FF0369A1"/>
      <name val="Segoe UI"/>
      <family val="2"/>
    </font>
    <font>
      <b/>
      <sz val="12"/>
      <color rgb="FF0369A1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FEF08A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F0F9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6" fillId="3" borderId="1" xfId="0" applyFont="1" applyFill="1" applyBorder="1" applyAlignment="1">
      <alignment horizontal="left"/>
    </xf>
    <xf numFmtId="0" fontId="6" fillId="3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right" vertical="center"/>
    </xf>
    <xf numFmtId="164" fontId="8" fillId="0" borderId="1" xfId="0" applyNumberFormat="1" applyFont="1" applyBorder="1" applyAlignment="1">
      <alignment horizontal="right" vertical="center"/>
    </xf>
    <xf numFmtId="0" fontId="9" fillId="5" borderId="1" xfId="0" applyFont="1" applyFill="1" applyBorder="1" applyAlignment="1">
      <alignment horizontal="right"/>
    </xf>
    <xf numFmtId="164" fontId="10" fillId="5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F38"/>
  <sheetViews>
    <sheetView tabSelected="1" workbookViewId="0"/>
  </sheetViews>
  <sheetFormatPr defaultRowHeight="15"/>
  <cols>
    <col min="1" max="1" width="6.7109375" customWidth="1"/>
    <col min="2" max="2" width="38.7109375" customWidth="1"/>
    <col min="3" max="3" width="18.7109375" customWidth="1"/>
    <col min="4" max="4" width="12.7109375" customWidth="1"/>
    <col min="5" max="5" width="22.7109375" customWidth="1"/>
    <col min="6" max="6" width="24.7109375" customWidth="1"/>
  </cols>
  <sheetData>
    <row r="2" spans="1:6">
      <c r="B2" s="1" t="s">
        <v>0</v>
      </c>
    </row>
    <row r="3" spans="1:6">
      <c r="B3" s="2" t="s">
        <v>1</v>
      </c>
    </row>
    <row r="4" spans="1:6">
      <c r="B4" s="3" t="s">
        <v>2</v>
      </c>
    </row>
    <row r="6" spans="1:6">
      <c r="B6" s="4" t="s">
        <v>3</v>
      </c>
      <c r="C6" s="4"/>
      <c r="D6" s="4"/>
      <c r="E6" s="4"/>
      <c r="F6" s="4"/>
    </row>
    <row r="7" spans="1:6">
      <c r="B7" s="5" t="s">
        <v>4</v>
      </c>
      <c r="C7" s="6" t="s">
        <v>5</v>
      </c>
      <c r="E7" s="5" t="s">
        <v>6</v>
      </c>
      <c r="F7" s="6" t="s">
        <v>7</v>
      </c>
    </row>
    <row r="8" spans="1:6">
      <c r="B8" s="5" t="s">
        <v>8</v>
      </c>
      <c r="C8" s="6" t="s">
        <v>9</v>
      </c>
      <c r="E8" s="5" t="s">
        <v>10</v>
      </c>
      <c r="F8" s="6" t="s">
        <v>11</v>
      </c>
    </row>
    <row r="9" spans="1:6">
      <c r="B9" s="5" t="s">
        <v>12</v>
      </c>
      <c r="C9" s="6" t="s">
        <v>13</v>
      </c>
      <c r="E9" s="5" t="s">
        <v>14</v>
      </c>
      <c r="F9" s="6" t="s">
        <v>15</v>
      </c>
    </row>
    <row r="11" spans="1:6">
      <c r="B11" s="4" t="s">
        <v>16</v>
      </c>
      <c r="C11" s="4"/>
      <c r="D11" s="4"/>
      <c r="E11" s="4"/>
      <c r="F11" s="4"/>
    </row>
    <row r="12" spans="1:6">
      <c r="B12" s="5" t="s">
        <v>17</v>
      </c>
      <c r="C12" s="7">
        <v>50</v>
      </c>
      <c r="E12" s="5" t="s">
        <v>18</v>
      </c>
      <c r="F12" s="7">
        <v>25</v>
      </c>
    </row>
    <row r="13" spans="1:6">
      <c r="B13" s="5" t="s">
        <v>19</v>
      </c>
      <c r="C13" s="7">
        <v>2</v>
      </c>
      <c r="E13" s="5" t="s">
        <v>20</v>
      </c>
      <c r="F13" s="7">
        <v>0.5</v>
      </c>
    </row>
    <row r="15" spans="1:6">
      <c r="B15" s="4" t="s">
        <v>21</v>
      </c>
      <c r="C15" s="4"/>
      <c r="D15" s="4"/>
      <c r="E15" s="4"/>
      <c r="F15" s="4"/>
    </row>
    <row r="16" spans="1:6">
      <c r="A16" s="8" t="s">
        <v>22</v>
      </c>
      <c r="B16" s="8" t="s">
        <v>23</v>
      </c>
      <c r="C16" s="8" t="s">
        <v>24</v>
      </c>
      <c r="D16" s="8" t="s">
        <v>25</v>
      </c>
      <c r="E16" s="8" t="s">
        <v>26</v>
      </c>
      <c r="F16" s="8" t="s">
        <v>27</v>
      </c>
    </row>
    <row r="17" spans="1:6">
      <c r="A17" s="9">
        <v>1</v>
      </c>
      <c r="B17" s="5" t="s">
        <v>28</v>
      </c>
      <c r="C17" s="9" t="s">
        <v>29</v>
      </c>
      <c r="D17" s="7">
        <f>C12</f>
        <v>0</v>
      </c>
      <c r="E17" s="7">
        <v>2000</v>
      </c>
      <c r="F17" s="10">
        <f>D17*E17</f>
        <v>0</v>
      </c>
    </row>
    <row r="18" spans="1:6">
      <c r="A18" s="9">
        <v>2</v>
      </c>
      <c r="B18" s="5" t="s">
        <v>30</v>
      </c>
      <c r="C18" s="9" t="s">
        <v>31</v>
      </c>
      <c r="D18" s="7">
        <f>C12</f>
        <v>0</v>
      </c>
      <c r="E18" s="7">
        <v>400</v>
      </c>
      <c r="F18" s="10">
        <f>D18*E18</f>
        <v>0</v>
      </c>
    </row>
    <row r="19" spans="1:6">
      <c r="A19" s="9">
        <v>3</v>
      </c>
      <c r="B19" s="5" t="s">
        <v>32</v>
      </c>
      <c r="C19" s="9" t="s">
        <v>33</v>
      </c>
      <c r="D19" s="7">
        <f>C12</f>
        <v>0</v>
      </c>
      <c r="E19" s="7">
        <v>100</v>
      </c>
      <c r="F19" s="10">
        <f>D19*E19</f>
        <v>0</v>
      </c>
    </row>
    <row r="20" spans="1:6">
      <c r="A20" s="9">
        <v>4</v>
      </c>
      <c r="B20" s="5" t="s">
        <v>34</v>
      </c>
      <c r="C20" s="9" t="s">
        <v>35</v>
      </c>
      <c r="D20" s="7">
        <f>F12</f>
        <v>0</v>
      </c>
      <c r="E20" s="7">
        <v>400</v>
      </c>
      <c r="F20" s="10">
        <f>D20*E20</f>
        <v>0</v>
      </c>
    </row>
    <row r="21" spans="1:6">
      <c r="A21" s="9">
        <v>5</v>
      </c>
      <c r="B21" s="5" t="s">
        <v>36</v>
      </c>
      <c r="C21" s="9" t="s">
        <v>37</v>
      </c>
      <c r="D21" s="7">
        <f>ROUNDUP(C12*F13, 0)</f>
        <v>0</v>
      </c>
      <c r="E21" s="7">
        <v>2300</v>
      </c>
      <c r="F21" s="10">
        <f>D21*E21</f>
        <v>0</v>
      </c>
    </row>
    <row r="22" spans="1:6">
      <c r="A22" s="9">
        <v>6</v>
      </c>
      <c r="B22" s="5" t="s">
        <v>38</v>
      </c>
      <c r="C22" s="9" t="s">
        <v>39</v>
      </c>
      <c r="D22" s="7">
        <f>MAX(1, ROUNDUP((D17+D20)/35, 0))</f>
        <v>0</v>
      </c>
      <c r="E22" s="7">
        <v>8500</v>
      </c>
      <c r="F22" s="10">
        <f>D22*E22</f>
        <v>0</v>
      </c>
    </row>
    <row r="23" spans="1:6">
      <c r="A23" s="9">
        <v>7</v>
      </c>
      <c r="B23" s="5" t="s">
        <v>40</v>
      </c>
      <c r="C23" s="9" t="s">
        <v>41</v>
      </c>
      <c r="D23" s="7">
        <f>ROUNDUP(D22*1.5, 0)</f>
        <v>0</v>
      </c>
      <c r="E23" s="7">
        <v>2500</v>
      </c>
      <c r="F23" s="10">
        <f>D23*E23</f>
        <v>0</v>
      </c>
    </row>
    <row r="24" spans="1:6">
      <c r="A24" s="9">
        <v>8</v>
      </c>
      <c r="B24" s="5" t="s">
        <v>42</v>
      </c>
      <c r="C24" s="9" t="s">
        <v>43</v>
      </c>
      <c r="D24" s="7">
        <f>C13</f>
        <v>0</v>
      </c>
      <c r="E24" s="7">
        <v>12500</v>
      </c>
      <c r="F24" s="10">
        <f>D24*E24</f>
        <v>0</v>
      </c>
    </row>
    <row r="26" spans="1:6">
      <c r="E26" s="11" t="s">
        <v>44</v>
      </c>
      <c r="F26" s="11">
        <f>SUM(F17:F24)</f>
        <v>0</v>
      </c>
    </row>
    <row r="27" spans="1:6">
      <c r="D27" s="5" t="s">
        <v>45</v>
      </c>
      <c r="E27" s="7">
        <v>0</v>
      </c>
      <c r="F27" s="10">
        <f>F26*(E27/100)</f>
        <v>0</v>
      </c>
    </row>
    <row r="28" spans="1:6">
      <c r="E28" s="5" t="s">
        <v>46</v>
      </c>
      <c r="F28" s="6">
        <v>3500</v>
      </c>
    </row>
    <row r="29" spans="1:6">
      <c r="E29" s="5" t="s">
        <v>47</v>
      </c>
      <c r="F29" s="10">
        <f>F26-F27+F28</f>
        <v>0</v>
      </c>
    </row>
    <row r="30" spans="1:6">
      <c r="E30" s="5" t="s">
        <v>48</v>
      </c>
      <c r="F30" s="10">
        <f>F29*0.09</f>
        <v>0</v>
      </c>
    </row>
    <row r="31" spans="1:6">
      <c r="E31" s="5" t="s">
        <v>49</v>
      </c>
      <c r="F31" s="10">
        <f>F29*0.09</f>
        <v>0</v>
      </c>
    </row>
    <row r="32" spans="1:6">
      <c r="E32" s="12" t="s">
        <v>50</v>
      </c>
      <c r="F32" s="13">
        <f>F29+F30+F31</f>
        <v>0</v>
      </c>
    </row>
    <row r="34" spans="2:6">
      <c r="B34" s="4" t="s">
        <v>51</v>
      </c>
      <c r="C34" s="4"/>
      <c r="D34" s="4"/>
      <c r="E34" s="4"/>
      <c r="F34" s="4"/>
    </row>
    <row r="35" spans="2:6">
      <c r="B35" s="5" t="s">
        <v>52</v>
      </c>
      <c r="C35" s="5" t="s">
        <v>53</v>
      </c>
    </row>
    <row r="36" spans="2:6">
      <c r="B36" s="5" t="s">
        <v>54</v>
      </c>
      <c r="C36" s="5" t="s">
        <v>55</v>
      </c>
    </row>
    <row r="37" spans="2:6">
      <c r="B37" s="5" t="s">
        <v>56</v>
      </c>
      <c r="C37" s="5" t="s">
        <v>57</v>
      </c>
    </row>
    <row r="38" spans="2:6">
      <c r="B38" s="5" t="s">
        <v>58</v>
      </c>
      <c r="C38" s="5" t="s">
        <v>59</v>
      </c>
    </row>
  </sheetData>
  <mergeCells count="4">
    <mergeCell ref="B6:F6"/>
    <mergeCell ref="B11:F11"/>
    <mergeCell ref="B15:F15"/>
    <mergeCell ref="B34:F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Quote Calculator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2026-07-20T07:46:18Z</dcterms:created>
  <dcterms:modified xsi:type="dcterms:W3CDTF">2026-07-20T07:46:18Z</dcterms:modified>
</cp:coreProperties>
</file>